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hidePivotFieldList="1" defaultThemeVersion="164011"/>
  <bookViews>
    <workbookView xWindow="0" yWindow="0" windowWidth="22260" windowHeight="12645" activeTab="1"/>
  </bookViews>
  <sheets>
    <sheet name="Control de versiones" sheetId="3" r:id="rId1"/>
    <sheet name="Analisís de riesgos" sheetId="2" r:id="rId2"/>
  </sheets>
  <definedNames>
    <definedName name="_Toc231149028" localSheetId="0">'Control de versiones'!$A$1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2" i="2" l="1"/>
  <c r="G3" i="2"/>
  <c r="G4" i="2"/>
  <c r="G5" i="2"/>
  <c r="G6" i="2"/>
</calcChain>
</file>

<file path=xl/sharedStrings.xml><?xml version="1.0" encoding="utf-8"?>
<sst xmlns="http://schemas.openxmlformats.org/spreadsheetml/2006/main" count="44" uniqueCount="38">
  <si>
    <t>Columna1</t>
  </si>
  <si>
    <t>Riesgo</t>
  </si>
  <si>
    <t>Descripción</t>
  </si>
  <si>
    <t>Consecuencias asociadas</t>
  </si>
  <si>
    <t>Categoría</t>
  </si>
  <si>
    <t>Impacto</t>
  </si>
  <si>
    <t>Probabilidad</t>
  </si>
  <si>
    <t>Factor</t>
  </si>
  <si>
    <t>R01</t>
  </si>
  <si>
    <t>R02</t>
  </si>
  <si>
    <t>R03</t>
  </si>
  <si>
    <t>R04</t>
  </si>
  <si>
    <t>R05</t>
  </si>
  <si>
    <t>Factores personales</t>
  </si>
  <si>
    <t>Personal</t>
  </si>
  <si>
    <t>Cambio de requerimientos durante la ejecución del proyecto</t>
  </si>
  <si>
    <t>Requisitos</t>
  </si>
  <si>
    <t>Falta de aptitud en herramientas / lenguaje</t>
  </si>
  <si>
    <t>Suma</t>
  </si>
  <si>
    <t>Promedio</t>
  </si>
  <si>
    <t>Total</t>
  </si>
  <si>
    <t>Cuenta</t>
  </si>
  <si>
    <t>El cliente no podria ver los avances del proyecto por lo cual podira desconfiar del avance del proyecto.</t>
  </si>
  <si>
    <t>Retraso con la entrega de insumos.</t>
  </si>
  <si>
    <t>Si un miembro del equipo sufre un problema de salud eso significa que no podra dedicar tiempo al proyecto retrasandolo y terminara con una carga de trabajo para los otros miembros de equipo.</t>
  </si>
  <si>
    <t>Cronograma</t>
  </si>
  <si>
    <t>Si el cliente modifica lo que pidió originalmente, el equipo debe replanificar tareas, modificar módulos que ya estaban cerrados y, en muchos casos, rehacer parte del trabajo previo. Esto provoca demoras en el cronograma, genera conflictos sobre el alcance contratado, y obliga a renegociar plazos. Si los cambios son frecuentes o profundos, el proyecto puede entrar en una espiral donde nunca se logre estabilizar el alcance y la fecha de entrega se vuelve imposible de cumplir.</t>
  </si>
  <si>
    <t>En caso de que haya problemas a la hora de usar cualquier tipo de metodología, herramienta, etc en el ambiente laboral pueden surgir problemas en la calidad de los entregables y/o un retraso en la entrega de los insumos</t>
  </si>
  <si>
    <t>Experiencia y Capacidad</t>
  </si>
  <si>
    <t>A pesar de avanzar en el proyecto, el cliente no ha dado una nueva "retroalimentación" para continuar con el desarrollo del proyecto, lo cual deja cierta incertidumbre sobre como proceder.</t>
  </si>
  <si>
    <t>Avances/Retroalimentación</t>
  </si>
  <si>
    <t>Control de versiones del documento</t>
  </si>
  <si>
    <t>Versión</t>
  </si>
  <si>
    <t>Fecha</t>
  </si>
  <si>
    <t>Autor</t>
  </si>
  <si>
    <t>1.0</t>
  </si>
  <si>
    <t>A. Zapata</t>
  </si>
  <si>
    <t>Identificacion y analisis de los primeros riesgos detectados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</si>
</sst>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43" formatCode="_-* #,##0.00_-;\-* #,##0.00_-;_-* &quot;-&quot;??_-;_-@_-"/>
  </numFmts>
  <fonts count="6">
    <font>
      <sz val="11"/>
      <color theme="1"/>
      <name val="Calibri"/>
      <family val="2"/>
      <scheme val="minor"/>
    </font>
    <font>
      <sz val="11"/>
      <color theme="1"/>
      <name val="Calibri"/>
      <family val="2"/>
      <scheme val="minor"/>
    </font>
    <font>
      <b/>
      <sz val="11"/>
      <color theme="1"/>
      <name val="Calibri"/>
      <family val="2"/>
      <scheme val="minor"/>
    </font>
    <font>
      <b/>
      <sz val="10"/>
      <color theme="1"/>
      <name val="Helvetica Neue"/>
    </font>
    <font>
      <sz val="10"/>
      <color theme="1"/>
      <name val="Helvetica Neue"/>
    </font>
    <font>
      <b/>
      <sz val="16"/>
      <color theme="1"/>
      <name val="Calibri"/>
      <family val="2"/>
      <scheme val="minor"/>
    </font>
  </fonts>
  <fills count="3">
    <fill>
      <patternFill patternType="none"/>
    </fill>
    <fill>
      <patternFill patternType="gray125"/>
    </fill>
    <fill>
      <patternFill patternType="solid">
        <fgColor rgb="FFF2F2F2"/>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22">
    <xf numFmtId="0" fontId="0" fillId="0" borderId="0" xfId="0"/>
    <xf numFmtId="49" fontId="3" fillId="0" borderId="0" xfId="0" applyNumberFormat="1" applyFont="1" applyAlignment="1">
      <alignment horizontal="left" vertical="top" wrapText="1"/>
    </xf>
    <xf numFmtId="49" fontId="4" fillId="0" borderId="1" xfId="0" applyNumberFormat="1" applyFont="1" applyBorder="1" applyAlignment="1">
      <alignment vertical="top" wrapText="1"/>
    </xf>
    <xf numFmtId="0" fontId="4" fillId="0" borderId="1" xfId="0" applyFont="1" applyBorder="1" applyAlignment="1">
      <alignment vertical="top" wrapText="1"/>
    </xf>
    <xf numFmtId="49" fontId="4" fillId="0" borderId="1" xfId="0" applyNumberFormat="1" applyFont="1" applyBorder="1" applyAlignment="1">
      <alignment horizontal="left" vertical="top" wrapText="1"/>
    </xf>
    <xf numFmtId="0" fontId="4" fillId="0" borderId="1" xfId="0" applyFont="1" applyBorder="1" applyAlignment="1">
      <alignment horizontal="left" vertical="top" wrapText="1"/>
    </xf>
    <xf numFmtId="10" fontId="4" fillId="0" borderId="1" xfId="0" applyNumberFormat="1" applyFont="1" applyBorder="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0" fontId="4" fillId="0" borderId="2" xfId="0" applyFont="1" applyBorder="1" applyAlignment="1">
      <alignment horizontal="left" vertical="top" wrapText="1"/>
    </xf>
    <xf numFmtId="0" fontId="3" fillId="0" borderId="0" xfId="0" applyNumberFormat="1" applyFont="1" applyAlignment="1">
      <alignment horizontal="left" vertical="top" wrapText="1"/>
    </xf>
    <xf numFmtId="0" fontId="4" fillId="0" borderId="1" xfId="0" applyNumberFormat="1" applyFont="1" applyBorder="1" applyAlignment="1">
      <alignment horizontal="left" vertical="top" wrapText="1"/>
    </xf>
    <xf numFmtId="0" fontId="0" fillId="0" borderId="0" xfId="0" applyNumberFormat="1" applyAlignment="1">
      <alignment horizontal="left" vertical="top" wrapText="1"/>
    </xf>
    <xf numFmtId="2" fontId="3" fillId="0" borderId="0" xfId="1" applyNumberFormat="1" applyFont="1" applyAlignment="1">
      <alignment horizontal="left" vertical="top" wrapText="1"/>
    </xf>
    <xf numFmtId="2" fontId="4" fillId="0" borderId="1" xfId="1" applyNumberFormat="1" applyFont="1" applyBorder="1" applyAlignment="1">
      <alignment horizontal="left" vertical="top" wrapText="1"/>
    </xf>
    <xf numFmtId="2" fontId="0" fillId="0" borderId="0" xfId="1" applyNumberFormat="1" applyFont="1" applyAlignment="1">
      <alignment horizontal="left" vertical="top" wrapText="1"/>
    </xf>
    <xf numFmtId="0" fontId="5" fillId="0" borderId="0" xfId="0" applyFont="1" applyAlignment="1">
      <alignment horizontal="left" vertical="top"/>
    </xf>
    <xf numFmtId="0" fontId="2" fillId="2" borderId="0" xfId="0" applyFont="1" applyFill="1" applyAlignment="1">
      <alignment horizontal="left" vertical="top" wrapText="1"/>
    </xf>
    <xf numFmtId="0" fontId="2" fillId="0" borderId="0" xfId="0" applyFont="1" applyAlignment="1">
      <alignment horizontal="left" vertical="top" wrapText="1"/>
    </xf>
    <xf numFmtId="14" fontId="1" fillId="0" borderId="0" xfId="0" applyNumberFormat="1" applyFont="1" applyAlignment="1">
      <alignment horizontal="left" vertical="top" wrapText="1"/>
    </xf>
    <xf numFmtId="0" fontId="1" fillId="0" borderId="0" xfId="0" applyFont="1" applyAlignment="1">
      <alignment horizontal="left" vertical="top" wrapText="1"/>
    </xf>
    <xf numFmtId="0" fontId="0" fillId="0" borderId="0" xfId="0" applyFont="1" applyAlignment="1">
      <alignment horizontal="left" vertical="top" wrapText="1"/>
    </xf>
  </cellXfs>
  <cellStyles count="2">
    <cellStyle name="Millares" xfId="1" builtinId="3"/>
    <cellStyle name="Normal" xfId="0" builtinId="0"/>
  </cellStyles>
  <dxfs count="20">
    <dxf>
      <alignment horizontal="left" vertical="top" textRotation="0" wrapText="1" indent="0" justifyLastLine="0" shrinkToFit="0" readingOrder="0"/>
    </dxf>
    <dxf>
      <font>
        <b/>
        <i val="0"/>
        <strike val="0"/>
        <condense val="0"/>
        <extend val="0"/>
        <outline val="0"/>
        <shadow val="0"/>
        <u val="none"/>
        <vertAlign val="baseline"/>
        <sz val="11"/>
        <color theme="1"/>
        <name val="Calibri"/>
        <scheme val="minor"/>
      </font>
      <fill>
        <patternFill patternType="solid">
          <fgColor indexed="64"/>
          <bgColor rgb="FFF2F2F2"/>
        </patternFill>
      </fill>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minor"/>
      </font>
      <numFmt numFmtId="19" formatCode="d/m/yyyy"/>
      <alignment horizontal="left" vertical="top" textRotation="0" wrapText="1" indent="0" justifyLastLine="0" shrinkToFit="0" readingOrder="0"/>
    </dxf>
    <dxf>
      <font>
        <b/>
        <i val="0"/>
        <strike val="0"/>
        <condense val="0"/>
        <extend val="0"/>
        <outline val="0"/>
        <shadow val="0"/>
        <u val="none"/>
        <vertAlign val="baseline"/>
        <sz val="11"/>
        <color theme="1"/>
        <name val="Calibri"/>
        <scheme val="minor"/>
      </font>
      <alignment horizontal="left" vertical="top" textRotation="0" wrapText="1" indent="0" justifyLastLine="0" shrinkToFit="0" readingOrder="0"/>
    </dxf>
    <dxf>
      <numFmt numFmtId="0" formatCode="General"/>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alignment horizontal="left" vertical="top" textRotation="0" wrapText="1" indent="0" justifyLastLine="0" shrinkToFit="0" readingOrder="0"/>
    </dxf>
    <dxf>
      <numFmt numFmtId="0" formatCode="General"/>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Copia de Hoja 1-style" pivot="0" count="4">
      <tableStyleElement type="wholeTable" size="0" dxfId="19"/>
      <tableStyleElement type="headerRow" dxfId="18"/>
      <tableStyleElement type="firstRowStripe" dxfId="17"/>
      <tableStyleElement type="secondRowStripe" dxfId="1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id="9" name="Tabla9" displayName="Tabla9" ref="A2:D3" totalsRowShown="0" headerRowDxfId="1" dataDxfId="0">
  <autoFilter ref="A2:D3"/>
  <tableColumns count="4">
    <tableColumn id="1" name="Versión" dataDxfId="5"/>
    <tableColumn id="2" name="Fecha" dataDxfId="4"/>
    <tableColumn id="3" name="Autor" dataDxfId="3"/>
    <tableColumn id="4" name="Descripción" dataDxfId="2"/>
  </tableColumns>
  <tableStyleInfo name="TableStyleLight20" showFirstColumn="0" showLastColumn="0" showRowStripes="1" showColumnStripes="0"/>
</table>
</file>

<file path=xl/tables/table2.xml><?xml version="1.0" encoding="utf-8"?>
<table xmlns="http://schemas.openxmlformats.org/spreadsheetml/2006/main" id="6" name="Tabla" displayName="Tabla" ref="A1:G6" headerRowDxfId="15" dataDxfId="9" totalsRowDxfId="14">
  <tableColumns count="7">
    <tableColumn id="1" name="Riesgo" dataDxfId="13"/>
    <tableColumn id="2" name="Descripción" dataDxfId="12"/>
    <tableColumn id="3" name="Consecuencias asociadas" dataDxfId="11"/>
    <tableColumn id="4" name="Categoría" dataDxfId="8"/>
    <tableColumn id="5" name="Impacto" dataDxfId="7" dataCellStyle="Millares"/>
    <tableColumn id="6" name="Probabilidad" dataDxfId="10"/>
    <tableColumn id="9" name="Factor" dataDxfId="6">
      <calculatedColumnFormula>PRODUCT(E2:F2,100)</calculatedColumnFormula>
    </tableColumn>
  </tableColumns>
  <tableStyleInfo name="Copia de Hoja 1-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C11" sqref="C11"/>
    </sheetView>
  </sheetViews>
  <sheetFormatPr baseColWidth="10" defaultRowHeight="15"/>
  <cols>
    <col min="1" max="3" width="24.5703125" style="8" customWidth="1"/>
    <col min="4" max="4" width="29.7109375" style="8" customWidth="1"/>
    <col min="5" max="6" width="12" customWidth="1"/>
  </cols>
  <sheetData>
    <row r="1" spans="1:4" ht="21">
      <c r="A1" s="16" t="s">
        <v>31</v>
      </c>
    </row>
    <row r="2" spans="1:4">
      <c r="A2" s="17" t="s">
        <v>32</v>
      </c>
      <c r="B2" s="17" t="s">
        <v>33</v>
      </c>
      <c r="C2" s="17" t="s">
        <v>34</v>
      </c>
      <c r="D2" s="17" t="s">
        <v>2</v>
      </c>
    </row>
    <row r="3" spans="1:4" ht="30">
      <c r="A3" s="18" t="s">
        <v>35</v>
      </c>
      <c r="B3" s="19">
        <v>46173</v>
      </c>
      <c r="C3" s="20" t="s">
        <v>36</v>
      </c>
      <c r="D3" s="21" t="s">
        <v>37</v>
      </c>
    </row>
    <row r="4" spans="1:4">
      <c r="A4" s="18"/>
      <c r="B4" s="20"/>
      <c r="C4" s="20"/>
      <c r="D4" s="20"/>
    </row>
    <row r="5" spans="1:4">
      <c r="A5" s="18"/>
      <c r="B5" s="20"/>
      <c r="C5" s="20"/>
      <c r="D5" s="20"/>
    </row>
    <row r="6" spans="1:4">
      <c r="A6" s="7"/>
      <c r="B6" s="7"/>
      <c r="C6" s="7"/>
      <c r="D6" s="7"/>
    </row>
    <row r="7" spans="1:4">
      <c r="A7" s="7"/>
      <c r="B7" s="7"/>
      <c r="C7" s="7"/>
      <c r="D7" s="7"/>
    </row>
    <row r="8" spans="1:4">
      <c r="A8" s="7"/>
      <c r="B8" s="7"/>
      <c r="C8" s="7"/>
      <c r="D8" s="7"/>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tabSelected="1" workbookViewId="0">
      <selection activeCell="C10" sqref="C10"/>
    </sheetView>
  </sheetViews>
  <sheetFormatPr baseColWidth="10" defaultRowHeight="15"/>
  <cols>
    <col min="1" max="1" width="18.7109375" style="7" customWidth="1"/>
    <col min="2" max="2" width="24" style="7" customWidth="1"/>
    <col min="3" max="3" width="64.85546875" style="7" customWidth="1"/>
    <col min="4" max="4" width="24" style="12" customWidth="1"/>
    <col min="5" max="5" width="24" style="15" customWidth="1"/>
    <col min="6" max="7" width="24" style="7" customWidth="1"/>
  </cols>
  <sheetData>
    <row r="1" spans="1:7">
      <c r="A1" s="1" t="s">
        <v>1</v>
      </c>
      <c r="B1" s="1" t="s">
        <v>2</v>
      </c>
      <c r="C1" s="1" t="s">
        <v>3</v>
      </c>
      <c r="D1" s="10" t="s">
        <v>4</v>
      </c>
      <c r="E1" s="13" t="s">
        <v>5</v>
      </c>
      <c r="F1" s="1" t="s">
        <v>6</v>
      </c>
      <c r="G1" s="1" t="s">
        <v>7</v>
      </c>
    </row>
    <row r="2" spans="1:7" s="7" customFormat="1" ht="55.5" customHeight="1">
      <c r="A2" s="4" t="s">
        <v>8</v>
      </c>
      <c r="B2" s="4" t="s">
        <v>23</v>
      </c>
      <c r="C2" s="5" t="s">
        <v>22</v>
      </c>
      <c r="D2" s="11" t="s">
        <v>25</v>
      </c>
      <c r="E2" s="14">
        <v>3.5</v>
      </c>
      <c r="F2" s="6">
        <v>0.05</v>
      </c>
      <c r="G2" s="9">
        <f t="shared" ref="G2:G6" si="0">PRODUCT(E2:F2,100)</f>
        <v>17.5</v>
      </c>
    </row>
    <row r="3" spans="1:7" s="7" customFormat="1" ht="74.25" customHeight="1">
      <c r="A3" s="4" t="s">
        <v>9</v>
      </c>
      <c r="B3" s="4" t="s">
        <v>13</v>
      </c>
      <c r="C3" s="5" t="s">
        <v>24</v>
      </c>
      <c r="D3" s="11" t="s">
        <v>14</v>
      </c>
      <c r="E3" s="14">
        <v>3</v>
      </c>
      <c r="F3" s="6">
        <v>0.45</v>
      </c>
      <c r="G3" s="9">
        <f t="shared" si="0"/>
        <v>135</v>
      </c>
    </row>
    <row r="4" spans="1:7" s="7" customFormat="1" ht="98.25" customHeight="1">
      <c r="A4" s="4" t="s">
        <v>10</v>
      </c>
      <c r="B4" s="2" t="s">
        <v>15</v>
      </c>
      <c r="C4" s="3" t="s">
        <v>26</v>
      </c>
      <c r="D4" s="3" t="s">
        <v>16</v>
      </c>
      <c r="E4" s="14">
        <v>4.5</v>
      </c>
      <c r="F4" s="6">
        <v>0.55000000000000004</v>
      </c>
      <c r="G4" s="9">
        <f t="shared" si="0"/>
        <v>247.5</v>
      </c>
    </row>
    <row r="5" spans="1:7" s="7" customFormat="1" ht="50.25" customHeight="1">
      <c r="A5" s="4" t="s">
        <v>11</v>
      </c>
      <c r="B5" s="2" t="s">
        <v>17</v>
      </c>
      <c r="C5" s="5" t="s">
        <v>27</v>
      </c>
      <c r="D5" s="11" t="s">
        <v>28</v>
      </c>
      <c r="E5" s="14">
        <v>2.6</v>
      </c>
      <c r="F5" s="6">
        <v>0.5</v>
      </c>
      <c r="G5" s="9">
        <f t="shared" si="0"/>
        <v>130</v>
      </c>
    </row>
    <row r="6" spans="1:7" s="7" customFormat="1" ht="42.75" customHeight="1">
      <c r="A6" s="4" t="s">
        <v>12</v>
      </c>
      <c r="B6" s="4" t="s">
        <v>30</v>
      </c>
      <c r="C6" s="5" t="s">
        <v>29</v>
      </c>
      <c r="D6" s="3" t="s">
        <v>16</v>
      </c>
      <c r="E6" s="14">
        <v>3</v>
      </c>
      <c r="F6" s="6">
        <v>0.9</v>
      </c>
      <c r="G6" s="9">
        <f t="shared" si="0"/>
        <v>270</v>
      </c>
    </row>
  </sheetData>
  <conditionalFormatting sqref="G1:G1048576">
    <cfRule type="colorScale" priority="3">
      <colorScale>
        <cfvo type="min"/>
        <cfvo type="percentile" val="50"/>
        <cfvo type="max"/>
        <color rgb="FF63BE7B"/>
        <color rgb="FFFFEB84"/>
        <color rgb="FFF8696B"/>
      </colorScale>
    </cfRule>
    <cfRule type="colorScale" priority="1">
      <colorScale>
        <cfvo type="num" val="1"/>
        <cfvo type="num" val="250"/>
        <cfvo type="num" val="500"/>
        <color rgb="FF00B050"/>
        <color rgb="FFFFEB84"/>
        <color rgb="FFFF0000"/>
      </colorScale>
    </cfRule>
  </conditionalFormatting>
  <dataValidations count="2">
    <dataValidation allowBlank="1" showDropDown="1" sqref="A2:B6"/>
    <dataValidation type="custom" allowBlank="1" showDropDown="1" sqref="E2:G6">
      <formula1>AND(ISNUMBER(E2),(NOT(OR(NOT(ISERROR(DATEVALUE(E2))), AND(ISNUMBER(E2), LEFT(CELL("format", E2))="D")))))</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Control de versiones</vt:lpstr>
      <vt:lpstr>Analisís de riesgos</vt:lpstr>
      <vt:lpstr>'Control de versiones'!_Toc231149028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2026-05-31T23:42:41Z</dcterms:modified>
</cp:coreProperties>
</file>